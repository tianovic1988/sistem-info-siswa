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WEB\"/>
    </mc:Choice>
  </mc:AlternateContent>
  <xr:revisionPtr revIDLastSave="0" documentId="13_ncr:1_{363BC419-30E0-466F-B86F-5A2050F62A7C}" xr6:coauthVersionLast="47" xr6:coauthVersionMax="47" xr10:uidLastSave="{00000000-0000-0000-0000-000000000000}"/>
  <bookViews>
    <workbookView xWindow="-120" yWindow="-120" windowWidth="20730" windowHeight="11040" xr2:uid="{FBB3284E-7124-44F4-ACFD-447A6886AA1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W4" i="1"/>
  <c r="V3" i="1"/>
  <c r="V4" i="1"/>
  <c r="X3" i="1"/>
  <c r="Y3" i="1"/>
  <c r="Z3" i="1"/>
  <c r="AA3" i="1"/>
  <c r="X4" i="1"/>
  <c r="Y4" i="1"/>
  <c r="Z4" i="1"/>
  <c r="AA4" i="1"/>
  <c r="AA2" i="1"/>
  <c r="Z2" i="1"/>
  <c r="Y2" i="1"/>
  <c r="X2" i="1"/>
  <c r="W2" i="1"/>
  <c r="V2" i="1"/>
  <c r="U3" i="1"/>
  <c r="U4" i="1"/>
  <c r="U2" i="1"/>
</calcChain>
</file>

<file path=xl/sharedStrings.xml><?xml version="1.0" encoding="utf-8"?>
<sst xmlns="http://schemas.openxmlformats.org/spreadsheetml/2006/main" count="70" uniqueCount="61">
  <si>
    <t>NO REGISTRASI</t>
  </si>
  <si>
    <t>NAMA LENGKAP</t>
  </si>
  <si>
    <t>NO HP SISWA</t>
  </si>
  <si>
    <t>NAMA ORTU</t>
  </si>
  <si>
    <t>NO HP ORTU 1</t>
  </si>
  <si>
    <t>NO HP ORTU 2</t>
  </si>
  <si>
    <t>KELAS GO</t>
  </si>
  <si>
    <t>HARI</t>
  </si>
  <si>
    <t>JAM KBM</t>
  </si>
  <si>
    <t>No_HP</t>
  </si>
  <si>
    <t>Ruang Kelas</t>
  </si>
  <si>
    <t>Lokasi</t>
  </si>
  <si>
    <t>PU 1</t>
  </si>
  <si>
    <t>PK 1</t>
  </si>
  <si>
    <t>PPU 1</t>
  </si>
  <si>
    <t>PBM 1</t>
  </si>
  <si>
    <t>Lit Bhs Indo 1</t>
  </si>
  <si>
    <t>Lit Bhs Ing 1</t>
  </si>
  <si>
    <t>PU 2</t>
  </si>
  <si>
    <t>PK 2</t>
  </si>
  <si>
    <t>PPU 2</t>
  </si>
  <si>
    <t>PBM 2</t>
  </si>
  <si>
    <t>Lit Bhs Indo 2</t>
  </si>
  <si>
    <t>Lit Bhs Ing 2</t>
  </si>
  <si>
    <t>PM 2</t>
  </si>
  <si>
    <t>PM 1</t>
  </si>
  <si>
    <t>81234567890</t>
  </si>
  <si>
    <t>89999999999</t>
  </si>
  <si>
    <t>87771740512</t>
  </si>
  <si>
    <t>A-123</t>
  </si>
  <si>
    <t>B-223</t>
  </si>
  <si>
    <t>C-435</t>
  </si>
  <si>
    <t>XXX XXX XXX</t>
  </si>
  <si>
    <t>BB BBB BBB</t>
  </si>
  <si>
    <t>AAA AAA AAA</t>
  </si>
  <si>
    <t>81234567891</t>
  </si>
  <si>
    <t>89999999998</t>
  </si>
  <si>
    <t>87771740511</t>
  </si>
  <si>
    <t>Ibu XXX</t>
  </si>
  <si>
    <t>Bapak BBB</t>
  </si>
  <si>
    <t>Ibu ABC</t>
  </si>
  <si>
    <t>10 REG A 1</t>
  </si>
  <si>
    <t>11 UTBK A 5</t>
  </si>
  <si>
    <t>12 UTBK B-5</t>
  </si>
  <si>
    <t>SEN-SEL-RAB</t>
  </si>
  <si>
    <t>08.00-12.00</t>
  </si>
  <si>
    <t>A</t>
  </si>
  <si>
    <t>B</t>
  </si>
  <si>
    <t>C</t>
  </si>
  <si>
    <t>Gd. Jendral Sudiman</t>
  </si>
  <si>
    <t>PU 3</t>
  </si>
  <si>
    <t>PK 3</t>
  </si>
  <si>
    <t>PPU 3</t>
  </si>
  <si>
    <t>PBM 3</t>
  </si>
  <si>
    <t>Lit Bhs Indo 3</t>
  </si>
  <si>
    <t>Lit Bhs Ing 3</t>
  </si>
  <si>
    <t>PM 3</t>
  </si>
  <si>
    <t>PASSWORD</t>
  </si>
  <si>
    <t>26111988</t>
  </si>
  <si>
    <t>01012000</t>
  </si>
  <si>
    <t>04041994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</si>
</sst>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D765-1505-4BA4-BDA9-9A238174077E}">
  <dimension ref="A1:AH4"/>
  <sheetViews>
    <sheetView tabSelected="1" workbookViewId="0">
      <selection activeCell="D11" sqref="D11"/>
    </sheetView>
  </sheetViews>
  <sheetFormatPr defaultRowHeight="15" x14ac:dyDescent="0.25"/>
  <cols>
    <col min="1" max="1" width="12" style="8" bestFit="1" customWidth="1"/>
    <col min="2" max="2" width="12" style="8" customWidth="1"/>
    <col min="3" max="3" width="13.140625" bestFit="1" customWidth="1"/>
    <col min="4" max="4" width="28.5703125" bestFit="1" customWidth="1"/>
    <col min="5" max="5" width="13.140625" bestFit="1" customWidth="1"/>
    <col min="6" max="6" width="22.5703125" bestFit="1" customWidth="1"/>
    <col min="7" max="8" width="12" bestFit="1" customWidth="1"/>
    <col min="9" max="9" width="14.140625" bestFit="1" customWidth="1"/>
    <col min="10" max="10" width="14.85546875" bestFit="1" customWidth="1"/>
    <col min="11" max="11" width="13.5703125" customWidth="1"/>
  </cols>
  <sheetData>
    <row r="1" spans="1:34" ht="24" x14ac:dyDescent="0.25">
      <c r="A1" s="6" t="s">
        <v>9</v>
      </c>
      <c r="B1" s="9" t="s">
        <v>57</v>
      </c>
      <c r="C1" s="1" t="s">
        <v>0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5" t="s">
        <v>7</v>
      </c>
      <c r="K1" s="5" t="s">
        <v>8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25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50</v>
      </c>
      <c r="AC1" s="5" t="s">
        <v>51</v>
      </c>
      <c r="AD1" s="5" t="s">
        <v>52</v>
      </c>
      <c r="AE1" s="5" t="s">
        <v>53</v>
      </c>
      <c r="AF1" s="5" t="s">
        <v>54</v>
      </c>
      <c r="AG1" s="5" t="s">
        <v>55</v>
      </c>
      <c r="AH1" s="5" t="s">
        <v>56</v>
      </c>
    </row>
    <row r="2" spans="1:34" x14ac:dyDescent="0.25">
      <c r="A2" s="7" t="s">
        <v>26</v>
      </c>
      <c r="B2" s="7" t="s">
        <v>58</v>
      </c>
      <c r="C2" s="3" t="s">
        <v>29</v>
      </c>
      <c r="D2" s="4" t="s">
        <v>32</v>
      </c>
      <c r="E2" s="7" t="s">
        <v>35</v>
      </c>
      <c r="F2" s="4" t="s">
        <v>38</v>
      </c>
      <c r="G2" s="7" t="s">
        <v>26</v>
      </c>
      <c r="H2" s="3">
        <v>0</v>
      </c>
      <c r="I2" s="4" t="s">
        <v>41</v>
      </c>
      <c r="J2" t="s">
        <v>44</v>
      </c>
      <c r="K2" t="s">
        <v>45</v>
      </c>
      <c r="L2" t="s">
        <v>46</v>
      </c>
      <c r="M2" t="s">
        <v>49</v>
      </c>
      <c r="N2">
        <v>654</v>
      </c>
      <c r="O2">
        <v>653</v>
      </c>
      <c r="P2">
        <v>650</v>
      </c>
      <c r="Q2">
        <v>664</v>
      </c>
      <c r="R2">
        <v>663</v>
      </c>
      <c r="S2">
        <v>661</v>
      </c>
      <c r="T2">
        <v>633</v>
      </c>
      <c r="U2">
        <f>N2+5</f>
        <v>659</v>
      </c>
      <c r="V2">
        <f>O2+6</f>
        <v>659</v>
      </c>
      <c r="W2">
        <f>P2+7</f>
        <v>657</v>
      </c>
      <c r="X2">
        <f>Q2+9</f>
        <v>673</v>
      </c>
      <c r="Y2">
        <f>R2-4</f>
        <v>659</v>
      </c>
      <c r="Z2">
        <f>S2+7</f>
        <v>668</v>
      </c>
      <c r="AA2">
        <f>T2-4</f>
        <v>629</v>
      </c>
      <c r="AB2">
        <v>876</v>
      </c>
      <c r="AC2">
        <v>876</v>
      </c>
      <c r="AD2">
        <v>876</v>
      </c>
      <c r="AE2">
        <v>876</v>
      </c>
      <c r="AF2">
        <v>876</v>
      </c>
      <c r="AG2">
        <v>876</v>
      </c>
      <c r="AH2">
        <v>876</v>
      </c>
    </row>
    <row r="3" spans="1:34" x14ac:dyDescent="0.25">
      <c r="A3" s="7" t="s">
        <v>27</v>
      </c>
      <c r="B3" s="7" t="s">
        <v>59</v>
      </c>
      <c r="C3" s="3" t="s">
        <v>30</v>
      </c>
      <c r="D3" s="4" t="s">
        <v>33</v>
      </c>
      <c r="E3" s="7" t="s">
        <v>36</v>
      </c>
      <c r="F3" s="4" t="s">
        <v>39</v>
      </c>
      <c r="G3" s="7" t="s">
        <v>27</v>
      </c>
      <c r="H3" s="3">
        <v>11122222223</v>
      </c>
      <c r="I3" s="4" t="s">
        <v>42</v>
      </c>
      <c r="J3" t="s">
        <v>44</v>
      </c>
      <c r="K3" t="s">
        <v>45</v>
      </c>
      <c r="L3" t="s">
        <v>47</v>
      </c>
      <c r="M3" t="s">
        <v>49</v>
      </c>
      <c r="N3">
        <v>654</v>
      </c>
      <c r="O3">
        <v>645</v>
      </c>
      <c r="P3">
        <v>651</v>
      </c>
      <c r="Q3">
        <v>664</v>
      </c>
      <c r="R3">
        <v>663</v>
      </c>
      <c r="S3">
        <v>661</v>
      </c>
      <c r="T3">
        <v>633</v>
      </c>
      <c r="U3">
        <f t="shared" ref="U3:U4" si="0">N3+5</f>
        <v>659</v>
      </c>
      <c r="V3">
        <f t="shared" ref="V3:V4" si="1">O3+6</f>
        <v>651</v>
      </c>
      <c r="W3">
        <f t="shared" ref="W3:W4" si="2">P3+7</f>
        <v>658</v>
      </c>
      <c r="X3">
        <f t="shared" ref="X3:X4" si="3">Q3+9</f>
        <v>673</v>
      </c>
      <c r="Y3">
        <f t="shared" ref="Y3:Y4" si="4">R3-4</f>
        <v>659</v>
      </c>
      <c r="Z3">
        <f t="shared" ref="Z3:Z4" si="5">S3+7</f>
        <v>668</v>
      </c>
      <c r="AA3">
        <f t="shared" ref="AA3:AA4" si="6">T3-4</f>
        <v>629</v>
      </c>
      <c r="AB3">
        <v>876</v>
      </c>
      <c r="AC3">
        <v>876</v>
      </c>
      <c r="AD3">
        <v>876</v>
      </c>
      <c r="AE3">
        <v>876</v>
      </c>
      <c r="AF3">
        <v>876</v>
      </c>
      <c r="AG3">
        <v>876</v>
      </c>
      <c r="AH3">
        <v>876</v>
      </c>
    </row>
    <row r="4" spans="1:34" x14ac:dyDescent="0.25">
      <c r="A4" s="7" t="s">
        <v>28</v>
      </c>
      <c r="B4" s="7" t="s">
        <v>60</v>
      </c>
      <c r="C4" s="3" t="s">
        <v>31</v>
      </c>
      <c r="D4" s="4" t="s">
        <v>34</v>
      </c>
      <c r="E4" s="7" t="s">
        <v>37</v>
      </c>
      <c r="F4" s="4" t="s">
        <v>40</v>
      </c>
      <c r="G4" s="7" t="s">
        <v>28</v>
      </c>
      <c r="H4" s="3">
        <v>12312312344</v>
      </c>
      <c r="I4" s="4" t="s">
        <v>43</v>
      </c>
      <c r="J4" t="s">
        <v>44</v>
      </c>
      <c r="K4" t="s">
        <v>45</v>
      </c>
      <c r="L4" t="s">
        <v>48</v>
      </c>
      <c r="M4" t="s">
        <v>49</v>
      </c>
      <c r="N4">
        <v>654</v>
      </c>
      <c r="O4">
        <v>637</v>
      </c>
      <c r="P4">
        <v>652</v>
      </c>
      <c r="Q4">
        <v>664</v>
      </c>
      <c r="R4">
        <v>663</v>
      </c>
      <c r="S4">
        <v>661</v>
      </c>
      <c r="T4">
        <v>633</v>
      </c>
      <c r="U4">
        <f t="shared" si="0"/>
        <v>659</v>
      </c>
      <c r="V4">
        <f t="shared" si="1"/>
        <v>643</v>
      </c>
      <c r="W4">
        <f t="shared" si="2"/>
        <v>659</v>
      </c>
      <c r="X4">
        <f t="shared" si="3"/>
        <v>673</v>
      </c>
      <c r="Y4">
        <f t="shared" si="4"/>
        <v>659</v>
      </c>
      <c r="Z4">
        <f t="shared" si="5"/>
        <v>668</v>
      </c>
      <c r="AA4">
        <f t="shared" si="6"/>
        <v>629</v>
      </c>
      <c r="AB4">
        <v>876</v>
      </c>
      <c r="AC4">
        <v>876</v>
      </c>
      <c r="AD4">
        <v>876</v>
      </c>
      <c r="AE4">
        <v>876</v>
      </c>
      <c r="AF4">
        <v>876</v>
      </c>
      <c r="AG4">
        <v>876</v>
      </c>
      <c r="AH4">
        <v>876</v>
      </c>
    </row>
  </sheetData>
  <conditionalFormatting sqref="A1">
    <cfRule type="duplicateValues" dxfId="110" priority="1"/>
    <cfRule type="duplicateValues" dxfId="109" priority="2"/>
    <cfRule type="duplicateValues" dxfId="108" priority="3"/>
    <cfRule type="duplicateValues" dxfId="107" priority="4"/>
    <cfRule type="duplicateValues" dxfId="106" priority="5"/>
    <cfRule type="duplicateValues" dxfId="105" priority="6"/>
    <cfRule type="duplicateValues" dxfId="104" priority="7"/>
    <cfRule type="duplicateValues" dxfId="103" priority="8"/>
  </conditionalFormatting>
  <conditionalFormatting sqref="A1 C1:AH1">
    <cfRule type="duplicateValues" dxfId="102" priority="119"/>
  </conditionalFormatting>
  <conditionalFormatting sqref="C1">
    <cfRule type="duplicateValues" dxfId="101" priority="70"/>
    <cfRule type="duplicateValues" dxfId="100" priority="71"/>
    <cfRule type="duplicateValues" dxfId="99" priority="72"/>
    <cfRule type="duplicateValues" dxfId="98" priority="73"/>
    <cfRule type="duplicateValues" dxfId="97" priority="74"/>
    <cfRule type="duplicateValues" dxfId="96" priority="75"/>
    <cfRule type="duplicateValues" dxfId="95" priority="76"/>
    <cfRule type="duplicateValues" dxfId="94" priority="77"/>
    <cfRule type="duplicateValues" dxfId="93" priority="78"/>
    <cfRule type="duplicateValues" dxfId="92" priority="79"/>
    <cfRule type="duplicateValues" dxfId="91" priority="80"/>
    <cfRule type="duplicateValues" dxfId="90" priority="81"/>
    <cfRule type="duplicateValues" dxfId="89" priority="82"/>
    <cfRule type="duplicateValues" dxfId="88" priority="83"/>
    <cfRule type="duplicateValues" dxfId="87" priority="84"/>
    <cfRule type="duplicateValues" dxfId="86" priority="85"/>
    <cfRule type="duplicateValues" dxfId="85" priority="86"/>
    <cfRule type="duplicateValues" dxfId="84" priority="87"/>
    <cfRule type="duplicateValues" dxfId="83" priority="88"/>
    <cfRule type="duplicateValues" dxfId="82" priority="89"/>
    <cfRule type="duplicateValues" dxfId="81" priority="90"/>
    <cfRule type="duplicateValues" dxfId="80" priority="91"/>
    <cfRule type="duplicateValues" dxfId="79" priority="92"/>
    <cfRule type="duplicateValues" dxfId="78" priority="93"/>
    <cfRule type="duplicateValues" dxfId="77" priority="94"/>
    <cfRule type="duplicateValues" dxfId="76" priority="95"/>
    <cfRule type="duplicateValues" dxfId="75" priority="96"/>
    <cfRule type="duplicateValues" dxfId="74" priority="97"/>
    <cfRule type="duplicateValues" dxfId="73" priority="98"/>
    <cfRule type="duplicateValues" dxfId="72" priority="99"/>
    <cfRule type="duplicateValues" dxfId="71" priority="100"/>
    <cfRule type="duplicateValues" dxfId="70" priority="101"/>
    <cfRule type="duplicateValues" dxfId="69" priority="102"/>
    <cfRule type="duplicateValues" dxfId="68" priority="103"/>
    <cfRule type="duplicateValues" dxfId="67" priority="104"/>
    <cfRule type="duplicateValues" dxfId="66" priority="105"/>
    <cfRule type="duplicateValues" dxfId="65" priority="106"/>
    <cfRule type="duplicateValues" dxfId="64" priority="107"/>
    <cfRule type="duplicateValues" dxfId="63" priority="108"/>
    <cfRule type="duplicateValues" dxfId="62" priority="109"/>
    <cfRule type="duplicateValues" dxfId="61" priority="110"/>
  </conditionalFormatting>
  <conditionalFormatting sqref="D1">
    <cfRule type="aboveAverage" dxfId="60" priority="34" aboveAverage="0"/>
    <cfRule type="duplicateValues" dxfId="59" priority="35"/>
    <cfRule type="duplicateValues" dxfId="58" priority="36"/>
    <cfRule type="duplicateValues" dxfId="57" priority="37"/>
    <cfRule type="duplicateValues" dxfId="56" priority="38"/>
    <cfRule type="duplicateValues" dxfId="55" priority="39"/>
    <cfRule type="duplicateValues" dxfId="54" priority="40"/>
    <cfRule type="duplicateValues" dxfId="53" priority="41"/>
    <cfRule type="duplicateValues" dxfId="52" priority="42"/>
    <cfRule type="duplicateValues" dxfId="51" priority="43"/>
    <cfRule type="duplicateValues" dxfId="50" priority="44"/>
    <cfRule type="duplicateValues" dxfId="49" priority="45"/>
    <cfRule type="duplicateValues" dxfId="48" priority="46"/>
    <cfRule type="duplicateValues" dxfId="47" priority="47"/>
    <cfRule type="duplicateValues" dxfId="46" priority="48"/>
    <cfRule type="duplicateValues" dxfId="45" priority="49"/>
    <cfRule type="duplicateValues" dxfId="44" priority="50"/>
    <cfRule type="duplicateValues" dxfId="43" priority="51"/>
    <cfRule type="aboveAverage" dxfId="42" priority="52" aboveAverage="0"/>
    <cfRule type="duplicateValues" dxfId="41" priority="53"/>
    <cfRule type="duplicateValues" dxfId="40" priority="54"/>
    <cfRule type="duplicateValues" dxfId="39" priority="55"/>
    <cfRule type="duplicateValues" dxfId="38" priority="56"/>
    <cfRule type="duplicateValues" dxfId="37" priority="57"/>
    <cfRule type="duplicateValues" dxfId="36" priority="58"/>
    <cfRule type="duplicateValues" dxfId="35" priority="59"/>
    <cfRule type="duplicateValues" dxfId="34" priority="60"/>
    <cfRule type="duplicateValues" dxfId="33" priority="61"/>
    <cfRule type="duplicateValues" dxfId="32" priority="62"/>
    <cfRule type="duplicateValues" dxfId="31" priority="63"/>
    <cfRule type="duplicateValues" dxfId="30" priority="64"/>
    <cfRule type="duplicateValues" dxfId="29" priority="65"/>
    <cfRule type="duplicateValues" dxfId="28" priority="66"/>
    <cfRule type="duplicateValues" dxfId="27" priority="67"/>
    <cfRule type="duplicateValues" dxfId="26" priority="68"/>
    <cfRule type="aboveAverage" dxfId="25" priority="69" aboveAverage="0"/>
  </conditionalFormatting>
  <conditionalFormatting sqref="D1:D4">
    <cfRule type="duplicateValues" dxfId="24" priority="112"/>
    <cfRule type="duplicateValues" dxfId="23" priority="113"/>
    <cfRule type="duplicateValues" dxfId="22" priority="114"/>
    <cfRule type="duplicateValues" dxfId="21" priority="115"/>
    <cfRule type="duplicateValues" dxfId="20" priority="116"/>
    <cfRule type="duplicateValues" dxfId="19" priority="117"/>
  </conditionalFormatting>
  <conditionalFormatting sqref="E1">
    <cfRule type="duplicateValues" dxfId="18" priority="21"/>
    <cfRule type="duplicateValues" dxfId="17" priority="22"/>
    <cfRule type="duplicateValues" dxfId="16" priority="23"/>
    <cfRule type="duplicateValues" dxfId="15" priority="24"/>
    <cfRule type="duplicateValues" dxfId="14" priority="25"/>
    <cfRule type="duplicateValues" dxfId="13" priority="26"/>
    <cfRule type="duplicateValues" dxfId="12" priority="27"/>
    <cfRule type="duplicateValues" dxfId="11" priority="118"/>
  </conditionalFormatting>
  <conditionalFormatting sqref="G1"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  <cfRule type="duplicateValues" dxfId="3" priority="19"/>
  </conditionalFormatting>
  <conditionalFormatting sqref="H1 J1:AH1">
    <cfRule type="duplicateValues" dxfId="2" priority="121"/>
    <cfRule type="duplicateValues" dxfId="1" priority="122"/>
    <cfRule type="duplicateValues" dxfId="0" priority="1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nopiana</dc:creator>
  <cp:lastModifiedBy>tian nopiana</cp:lastModifiedBy>
  <dcterms:created xsi:type="dcterms:W3CDTF">2026-06-29T06:04:14Z</dcterms:created>
  <dcterms:modified xsi:type="dcterms:W3CDTF">2026-06-29T12:25:41Z</dcterms:modified>
</cp:coreProperties>
</file>